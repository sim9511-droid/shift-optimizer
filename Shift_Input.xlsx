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feeb9b519dc77a8/shift_project/shift-optimizer/"/>
    </mc:Choice>
  </mc:AlternateContent>
  <xr:revisionPtr revIDLastSave="2" documentId="13_ncr:1_{43A4AF22-E5D3-4CA7-8324-C4DD0CACD583}" xr6:coauthVersionLast="47" xr6:coauthVersionMax="47" xr10:uidLastSave="{0BDDBA1A-85BE-4D8C-8BD0-594D9218BF4A}"/>
  <bookViews>
    <workbookView xWindow="1905" yWindow="450" windowWidth="15780" windowHeight="14535" activeTab="1" xr2:uid="{00000000-000D-0000-FFFF-FFFF00000000}"/>
  </bookViews>
  <sheets>
    <sheet name="設定" sheetId="1" r:id="rId1"/>
    <sheet name="希望休" sheetId="2" r:id="rId2"/>
    <sheet name="休日回数" sheetId="3" r:id="rId3"/>
  </sheets>
  <calcPr calcId="181029"/>
  <extLst>
    <ext uri="GoogleSheetsCustomDataVersion2">
      <go:sheetsCustomData xmlns:go="http://customooxmlschemas.google.com/" r:id="rId7" roundtripDataChecksum="qf0my+4tGKsy1dyPoBzDBb3xjUx8fbNLbMVkp+wQ2uU="/>
    </ext>
  </extLst>
</workbook>
</file>

<file path=xl/calcChain.xml><?xml version="1.0" encoding="utf-8"?>
<calcChain xmlns="http://schemas.openxmlformats.org/spreadsheetml/2006/main">
  <c r="A2" i="2" l="1"/>
  <c r="B2" i="2" s="1"/>
  <c r="A3" i="2" l="1"/>
  <c r="B3" i="2" l="1"/>
  <c r="A4" i="2"/>
  <c r="A5" i="2" l="1"/>
  <c r="B4" i="2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B11" i="2"/>
  <c r="A13" i="2" l="1"/>
  <c r="B12" i="2"/>
  <c r="A14" i="2" l="1"/>
  <c r="B13" i="2"/>
  <c r="A15" i="2" l="1"/>
  <c r="B14" i="2"/>
  <c r="A16" i="2" l="1"/>
  <c r="B15" i="2"/>
  <c r="A17" i="2" l="1"/>
  <c r="B16" i="2"/>
  <c r="A18" i="2" l="1"/>
  <c r="B17" i="2"/>
  <c r="A19" i="2" l="1"/>
  <c r="B18" i="2"/>
  <c r="A20" i="2" l="1"/>
  <c r="B19" i="2"/>
  <c r="A21" i="2" l="1"/>
  <c r="B20" i="2"/>
  <c r="A22" i="2" l="1"/>
  <c r="B21" i="2"/>
  <c r="A23" i="2" l="1"/>
  <c r="B22" i="2"/>
  <c r="A24" i="2" l="1"/>
  <c r="B23" i="2"/>
  <c r="A25" i="2" l="1"/>
  <c r="B24" i="2"/>
  <c r="A26" i="2" l="1"/>
  <c r="B25" i="2"/>
  <c r="A27" i="2" l="1"/>
  <c r="B26" i="2"/>
  <c r="A28" i="2" l="1"/>
  <c r="B27" i="2"/>
  <c r="A29" i="2" l="1"/>
  <c r="B28" i="2"/>
  <c r="A30" i="2" l="1"/>
  <c r="B29" i="2"/>
  <c r="A31" i="2" l="1"/>
  <c r="B30" i="2"/>
  <c r="A32" i="2" l="1"/>
  <c r="B32" i="2" s="1"/>
  <c r="B31" i="2"/>
</calcChain>
</file>

<file path=xl/sharedStrings.xml><?xml version="1.0" encoding="utf-8"?>
<sst xmlns="http://schemas.openxmlformats.org/spreadsheetml/2006/main" count="50" uniqueCount="32">
  <si>
    <t>年</t>
  </si>
  <si>
    <t>月</t>
  </si>
  <si>
    <t>日付</t>
  </si>
  <si>
    <t>曜日</t>
  </si>
  <si>
    <t>古藤</t>
  </si>
  <si>
    <t>坂根</t>
  </si>
  <si>
    <t>江角</t>
  </si>
  <si>
    <t>桑原</t>
  </si>
  <si>
    <t>名前</t>
    <rPh sb="0" eb="2">
      <t>ナマエ</t>
    </rPh>
    <phoneticPr fontId="3"/>
  </si>
  <si>
    <t>月間休日数</t>
    <rPh sb="0" eb="5">
      <t>ゲッカンキュウジツスウ</t>
    </rPh>
    <phoneticPr fontId="3"/>
  </si>
  <si>
    <t>そば打ち</t>
    <rPh sb="2" eb="3">
      <t>ウ</t>
    </rPh>
    <phoneticPr fontId="3"/>
  </si>
  <si>
    <t>佐伯</t>
    <phoneticPr fontId="3"/>
  </si>
  <si>
    <t>古藤</t>
    <rPh sb="0" eb="2">
      <t>コトウ</t>
    </rPh>
    <phoneticPr fontId="3"/>
  </si>
  <si>
    <t>石橋</t>
    <rPh sb="0" eb="2">
      <t>イシバシ</t>
    </rPh>
    <phoneticPr fontId="3"/>
  </si>
  <si>
    <t>坂根</t>
    <rPh sb="0" eb="2">
      <t>サカネ</t>
    </rPh>
    <phoneticPr fontId="3"/>
  </si>
  <si>
    <t>〇</t>
  </si>
  <si>
    <t>社員</t>
    <rPh sb="0" eb="2">
      <t>シャイン</t>
    </rPh>
    <phoneticPr fontId="3"/>
  </si>
  <si>
    <t>基本勤務時間</t>
    <rPh sb="0" eb="2">
      <t>キホン</t>
    </rPh>
    <rPh sb="2" eb="6">
      <t>キンムジカン</t>
    </rPh>
    <phoneticPr fontId="3"/>
  </si>
  <si>
    <t>そば打ち時の時間</t>
    <rPh sb="2" eb="3">
      <t>ウ</t>
    </rPh>
    <rPh sb="4" eb="5">
      <t>ジ</t>
    </rPh>
    <rPh sb="6" eb="8">
      <t>ジカン</t>
    </rPh>
    <phoneticPr fontId="3"/>
  </si>
  <si>
    <r>
      <t>9</t>
    </r>
    <r>
      <rPr>
        <sz val="11"/>
        <color theme="1"/>
        <rFont val="Calibri"/>
        <family val="2"/>
        <scheme val="minor"/>
      </rPr>
      <t>:00-18:00</t>
    </r>
    <phoneticPr fontId="3"/>
  </si>
  <si>
    <r>
      <t>1</t>
    </r>
    <r>
      <rPr>
        <sz val="11"/>
        <color theme="1"/>
        <rFont val="Calibri"/>
        <family val="2"/>
        <scheme val="minor"/>
      </rPr>
      <t>0:00-17:45</t>
    </r>
    <phoneticPr fontId="3"/>
  </si>
  <si>
    <r>
      <t>8</t>
    </r>
    <r>
      <rPr>
        <sz val="11"/>
        <color theme="1"/>
        <rFont val="Calibri"/>
        <family val="2"/>
        <scheme val="minor"/>
      </rPr>
      <t>:00-17:00</t>
    </r>
    <phoneticPr fontId="3"/>
  </si>
  <si>
    <t>祝日リスト</t>
    <rPh sb="0" eb="2">
      <t>シュクジツ</t>
    </rPh>
    <phoneticPr fontId="3"/>
  </si>
  <si>
    <t>連勤上限</t>
    <rPh sb="0" eb="4">
      <t>レンキンジョウゲン</t>
    </rPh>
    <phoneticPr fontId="3"/>
  </si>
  <si>
    <t>平日最低人数</t>
    <rPh sb="0" eb="2">
      <t>ヘイジツ</t>
    </rPh>
    <rPh sb="2" eb="6">
      <t>サイテイニンズウ</t>
    </rPh>
    <phoneticPr fontId="3"/>
  </si>
  <si>
    <t>平日最大人数</t>
    <rPh sb="0" eb="6">
      <t>ヘイジツサイダイニンズウ</t>
    </rPh>
    <phoneticPr fontId="3"/>
  </si>
  <si>
    <t>休日最低人数</t>
    <rPh sb="0" eb="6">
      <t>キュウジツサイテイニンズウ</t>
    </rPh>
    <phoneticPr fontId="3"/>
  </si>
  <si>
    <t>休日最大人数</t>
    <rPh sb="0" eb="6">
      <t>キュウジツサイダイニンズウ</t>
    </rPh>
    <phoneticPr fontId="3"/>
  </si>
  <si>
    <t>石橋</t>
    <phoneticPr fontId="3"/>
  </si>
  <si>
    <t>佐伯</t>
    <phoneticPr fontId="3"/>
  </si>
  <si>
    <t>希休</t>
  </si>
  <si>
    <t>有休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</si>
</sst>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6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76" fontId="5" fillId="0" borderId="0" xfId="0" applyNumberFormat="1" applyFont="1"/>
    <xf numFmtId="0" fontId="5" fillId="0" borderId="0" xfId="0" applyFont="1"/>
    <xf numFmtId="14" fontId="2" fillId="0" borderId="0" xfId="0" applyNumberFormat="1" applyFont="1"/>
    <xf numFmtId="14" fontId="0" fillId="0" borderId="0" xfId="0" applyNumberFormat="1"/>
    <xf numFmtId="14" fontId="1" fillId="0" borderId="0" xfId="0" applyNumberFormat="1" applyFont="1" applyAlignment="1">
      <alignment wrapText="1"/>
    </xf>
  </cellXfs>
  <cellStyles count="1">
    <cellStyle name="標準" xfId="0" builtinId="0"/>
  </cellStyles>
  <dxfs count="3">
    <dxf>
      <font>
        <color rgb="FF0070C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000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19.5703125" customWidth="1"/>
    <col min="2" max="3" width="8.7109375" customWidth="1"/>
    <col min="4" max="4" width="12" customWidth="1"/>
    <col min="5" max="16" width="8.7109375" customWidth="1"/>
  </cols>
  <sheetData>
    <row r="1" spans="1:4" x14ac:dyDescent="0.25">
      <c r="A1" s="1" t="s">
        <v>0</v>
      </c>
      <c r="B1" s="1">
        <v>2026</v>
      </c>
      <c r="D1" s="3" t="s">
        <v>22</v>
      </c>
    </row>
    <row r="2" spans="1:4" x14ac:dyDescent="0.25">
      <c r="A2" s="1" t="s">
        <v>1</v>
      </c>
      <c r="B2" s="1">
        <v>2</v>
      </c>
      <c r="D2" s="8">
        <v>46023</v>
      </c>
    </row>
    <row r="3" spans="1:4" ht="15" customHeight="1" x14ac:dyDescent="0.25">
      <c r="D3" s="7">
        <v>46034</v>
      </c>
    </row>
    <row r="4" spans="1:4" ht="15" customHeight="1" x14ac:dyDescent="0.25">
      <c r="A4" s="3" t="s">
        <v>24</v>
      </c>
      <c r="B4">
        <v>3</v>
      </c>
      <c r="D4" s="7">
        <v>46064</v>
      </c>
    </row>
    <row r="5" spans="1:4" ht="15" customHeight="1" x14ac:dyDescent="0.25">
      <c r="A5" s="3" t="s">
        <v>25</v>
      </c>
      <c r="B5">
        <v>4</v>
      </c>
      <c r="D5" s="7">
        <v>46076</v>
      </c>
    </row>
    <row r="6" spans="1:4" ht="15" customHeight="1" x14ac:dyDescent="0.25">
      <c r="A6" s="3" t="s">
        <v>26</v>
      </c>
      <c r="B6">
        <v>4</v>
      </c>
      <c r="D6" s="7">
        <v>46101</v>
      </c>
    </row>
    <row r="7" spans="1:4" ht="15" customHeight="1" x14ac:dyDescent="0.25">
      <c r="A7" s="3" t="s">
        <v>27</v>
      </c>
      <c r="B7">
        <v>5</v>
      </c>
      <c r="D7" s="7">
        <v>46141</v>
      </c>
    </row>
    <row r="8" spans="1:4" ht="15" customHeight="1" x14ac:dyDescent="0.25">
      <c r="D8" s="7">
        <v>46145</v>
      </c>
    </row>
    <row r="9" spans="1:4" ht="15" customHeight="1" x14ac:dyDescent="0.25">
      <c r="D9" s="7">
        <v>46146</v>
      </c>
    </row>
    <row r="10" spans="1:4" ht="15" customHeight="1" x14ac:dyDescent="0.25">
      <c r="D10" s="7">
        <v>46147</v>
      </c>
    </row>
    <row r="11" spans="1:4" ht="15" customHeight="1" x14ac:dyDescent="0.25">
      <c r="D11" s="7">
        <v>46148</v>
      </c>
    </row>
    <row r="12" spans="1:4" ht="15" customHeight="1" x14ac:dyDescent="0.25">
      <c r="D12" s="7">
        <v>46223</v>
      </c>
    </row>
    <row r="13" spans="1:4" ht="15" customHeight="1" x14ac:dyDescent="0.25">
      <c r="D13" s="7">
        <v>46245</v>
      </c>
    </row>
    <row r="14" spans="1:4" ht="15" customHeight="1" x14ac:dyDescent="0.25">
      <c r="D14" s="7">
        <v>46286</v>
      </c>
    </row>
    <row r="15" spans="1:4" ht="15" customHeight="1" x14ac:dyDescent="0.25">
      <c r="D15" s="7">
        <v>46287</v>
      </c>
    </row>
    <row r="16" spans="1:4" ht="15" customHeight="1" x14ac:dyDescent="0.25">
      <c r="D16" s="7">
        <v>46288</v>
      </c>
    </row>
    <row r="17" spans="4:4" ht="15" customHeight="1" x14ac:dyDescent="0.25">
      <c r="D17" s="7">
        <v>46307</v>
      </c>
    </row>
    <row r="18" spans="4:4" ht="15" customHeight="1" x14ac:dyDescent="0.25">
      <c r="D18" s="7">
        <v>46329</v>
      </c>
    </row>
    <row r="19" spans="4:4" ht="15" customHeight="1" x14ac:dyDescent="0.25">
      <c r="D19" s="7">
        <v>46349</v>
      </c>
    </row>
    <row r="20" spans="4:4" ht="15" customHeight="1" x14ac:dyDescent="0.25">
      <c r="D20" s="7">
        <v>46379</v>
      </c>
    </row>
    <row r="21" spans="4:4" ht="15.75" customHeight="1" x14ac:dyDescent="0.25"/>
    <row r="22" spans="4:4" ht="15.75" customHeight="1" x14ac:dyDescent="0.25"/>
    <row r="23" spans="4:4" ht="15.75" customHeight="1" x14ac:dyDescent="0.25"/>
    <row r="24" spans="4:4" ht="15.75" customHeight="1" x14ac:dyDescent="0.25"/>
    <row r="25" spans="4:4" ht="15.75" customHeight="1" x14ac:dyDescent="0.25"/>
    <row r="26" spans="4:4" ht="15.75" customHeight="1" x14ac:dyDescent="0.25"/>
    <row r="27" spans="4:4" ht="15.75" customHeight="1" x14ac:dyDescent="0.25"/>
    <row r="28" spans="4:4" ht="15.75" customHeight="1" x14ac:dyDescent="0.25"/>
    <row r="29" spans="4:4" ht="15.75" customHeight="1" x14ac:dyDescent="0.25"/>
    <row r="30" spans="4:4" ht="15.75" customHeight="1" x14ac:dyDescent="0.25"/>
    <row r="31" spans="4:4" ht="15.75" customHeight="1" x14ac:dyDescent="0.25"/>
    <row r="32" spans="4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3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H32"/>
  <sheetViews>
    <sheetView tabSelected="1" workbookViewId="0">
      <selection activeCell="H14" sqref="H14"/>
    </sheetView>
  </sheetViews>
  <sheetFormatPr defaultColWidth="14.42578125" defaultRowHeight="15" customHeight="1" x14ac:dyDescent="0.25"/>
  <cols>
    <col min="1" max="1" width="10.140625" customWidth="1"/>
    <col min="2" max="2" width="5" customWidth="1"/>
    <col min="3" max="8" width="7" customWidth="1"/>
  </cols>
  <sheetData>
    <row r="1" spans="1:8" x14ac:dyDescent="0.25">
      <c r="A1" s="2" t="s">
        <v>2</v>
      </c>
      <c r="B1" s="2" t="s">
        <v>3</v>
      </c>
      <c r="C1" s="1" t="s">
        <v>4</v>
      </c>
      <c r="D1" s="3" t="s">
        <v>28</v>
      </c>
      <c r="E1" s="1" t="s">
        <v>5</v>
      </c>
      <c r="F1" s="3" t="s">
        <v>29</v>
      </c>
      <c r="G1" s="1" t="s">
        <v>6</v>
      </c>
      <c r="H1" s="1" t="s">
        <v>7</v>
      </c>
    </row>
    <row r="2" spans="1:8" x14ac:dyDescent="0.25">
      <c r="A2" s="6">
        <f>DATE(設定!B1, 設定!B2, 21)</f>
        <v>46074</v>
      </c>
      <c r="B2" s="2" t="str">
        <f>TEXT(A2, "aaa")</f>
        <v>土</v>
      </c>
      <c r="C2" s="1"/>
      <c r="D2" s="1"/>
      <c r="E2" s="1"/>
      <c r="F2" s="1"/>
      <c r="G2" s="1"/>
      <c r="H2" s="1"/>
    </row>
    <row r="3" spans="1:8" x14ac:dyDescent="0.25">
      <c r="A3" s="6">
        <f>A2+1</f>
        <v>46075</v>
      </c>
      <c r="B3" s="2" t="str">
        <f t="shared" ref="B3:B32" si="0">TEXT(A3, "aaa")</f>
        <v>日</v>
      </c>
      <c r="C3" s="1"/>
      <c r="D3" s="1"/>
      <c r="E3" s="1"/>
      <c r="F3" s="1"/>
      <c r="G3" s="1" t="s">
        <v>31</v>
      </c>
      <c r="H3" s="1"/>
    </row>
    <row r="4" spans="1:8" x14ac:dyDescent="0.25">
      <c r="A4" s="6">
        <f t="shared" ref="A4:A32" si="1">A3+1</f>
        <v>46076</v>
      </c>
      <c r="B4" s="2" t="str">
        <f t="shared" si="0"/>
        <v>月</v>
      </c>
      <c r="C4" s="1"/>
      <c r="D4" s="1"/>
      <c r="E4" s="1"/>
      <c r="F4" s="1"/>
      <c r="G4" s="1"/>
      <c r="H4" s="1"/>
    </row>
    <row r="5" spans="1:8" x14ac:dyDescent="0.25">
      <c r="A5" s="6">
        <f t="shared" si="1"/>
        <v>46077</v>
      </c>
      <c r="B5" s="2" t="str">
        <f t="shared" si="0"/>
        <v>火</v>
      </c>
      <c r="C5" s="1"/>
      <c r="D5" s="1"/>
      <c r="E5" s="1"/>
      <c r="F5" s="1"/>
      <c r="G5" s="1"/>
      <c r="H5" s="1" t="s">
        <v>30</v>
      </c>
    </row>
    <row r="6" spans="1:8" x14ac:dyDescent="0.25">
      <c r="A6" s="6">
        <f t="shared" si="1"/>
        <v>46078</v>
      </c>
      <c r="B6" s="2" t="str">
        <f t="shared" si="0"/>
        <v>水</v>
      </c>
      <c r="C6" s="1"/>
      <c r="D6" s="1"/>
      <c r="E6" s="1" t="s">
        <v>30</v>
      </c>
      <c r="F6" s="1"/>
      <c r="G6" s="1"/>
      <c r="H6" s="1"/>
    </row>
    <row r="7" spans="1:8" x14ac:dyDescent="0.25">
      <c r="A7" s="6">
        <f t="shared" si="1"/>
        <v>46079</v>
      </c>
      <c r="B7" s="2" t="str">
        <f t="shared" si="0"/>
        <v>木</v>
      </c>
      <c r="C7" s="1"/>
      <c r="D7" s="1"/>
      <c r="E7" s="1"/>
      <c r="F7" s="1"/>
      <c r="G7" s="1"/>
      <c r="H7" s="1"/>
    </row>
    <row r="8" spans="1:8" x14ac:dyDescent="0.25">
      <c r="A8" s="6">
        <f t="shared" si="1"/>
        <v>46080</v>
      </c>
      <c r="B8" s="2" t="str">
        <f t="shared" si="0"/>
        <v>金</v>
      </c>
      <c r="C8" s="1"/>
      <c r="D8" s="1"/>
      <c r="E8" s="1"/>
      <c r="F8" s="1"/>
      <c r="G8" s="1"/>
      <c r="H8" s="1"/>
    </row>
    <row r="9" spans="1:8" x14ac:dyDescent="0.25">
      <c r="A9" s="6">
        <f t="shared" si="1"/>
        <v>46081</v>
      </c>
      <c r="B9" s="2" t="str">
        <f t="shared" si="0"/>
        <v>土</v>
      </c>
      <c r="C9" s="1"/>
      <c r="D9" s="1"/>
      <c r="E9" s="1"/>
      <c r="F9" s="1"/>
      <c r="G9" s="1"/>
      <c r="H9" s="1"/>
    </row>
    <row r="10" spans="1:8" x14ac:dyDescent="0.25">
      <c r="A10" s="6">
        <f t="shared" si="1"/>
        <v>46082</v>
      </c>
      <c r="B10" s="2" t="str">
        <f t="shared" si="0"/>
        <v>日</v>
      </c>
      <c r="C10" s="1"/>
      <c r="D10" s="1"/>
      <c r="E10" s="1"/>
      <c r="F10" s="1"/>
      <c r="G10" s="1"/>
      <c r="H10" s="1"/>
    </row>
    <row r="11" spans="1:8" x14ac:dyDescent="0.25">
      <c r="A11" s="6">
        <f t="shared" si="1"/>
        <v>46083</v>
      </c>
      <c r="B11" s="2" t="str">
        <f t="shared" si="0"/>
        <v>月</v>
      </c>
      <c r="C11" s="1"/>
      <c r="D11" s="1"/>
      <c r="E11" s="1"/>
      <c r="F11" s="1"/>
      <c r="G11" s="1" t="s">
        <v>31</v>
      </c>
      <c r="H11" s="1"/>
    </row>
    <row r="12" spans="1:8" x14ac:dyDescent="0.25">
      <c r="A12" s="6">
        <f t="shared" si="1"/>
        <v>46084</v>
      </c>
      <c r="B12" s="2" t="str">
        <f t="shared" si="0"/>
        <v>火</v>
      </c>
      <c r="C12" s="1"/>
      <c r="D12" s="1"/>
      <c r="E12" s="1"/>
      <c r="F12" s="1"/>
      <c r="G12" s="1"/>
      <c r="H12" s="1"/>
    </row>
    <row r="13" spans="1:8" x14ac:dyDescent="0.25">
      <c r="A13" s="6">
        <f t="shared" si="1"/>
        <v>46085</v>
      </c>
      <c r="B13" s="2" t="str">
        <f t="shared" si="0"/>
        <v>水</v>
      </c>
      <c r="C13" s="1"/>
      <c r="D13" s="1"/>
      <c r="E13" s="1"/>
      <c r="F13" s="1"/>
      <c r="G13" s="1"/>
      <c r="H13" s="1"/>
    </row>
    <row r="14" spans="1:8" x14ac:dyDescent="0.25">
      <c r="A14" s="6">
        <f t="shared" si="1"/>
        <v>46086</v>
      </c>
      <c r="B14" s="2" t="str">
        <f t="shared" si="0"/>
        <v>木</v>
      </c>
      <c r="C14" s="1"/>
      <c r="D14" s="1"/>
      <c r="E14" s="1"/>
      <c r="F14" s="1"/>
      <c r="G14" s="1"/>
      <c r="H14" s="1" t="s">
        <v>30</v>
      </c>
    </row>
    <row r="15" spans="1:8" x14ac:dyDescent="0.25">
      <c r="A15" s="6">
        <f t="shared" si="1"/>
        <v>46087</v>
      </c>
      <c r="B15" s="2" t="str">
        <f t="shared" si="0"/>
        <v>金</v>
      </c>
      <c r="C15" s="1"/>
      <c r="D15" s="1"/>
      <c r="E15" s="1"/>
      <c r="F15" s="1"/>
      <c r="G15" s="1"/>
      <c r="H15" s="1"/>
    </row>
    <row r="16" spans="1:8" x14ac:dyDescent="0.25">
      <c r="A16" s="6">
        <f t="shared" si="1"/>
        <v>46088</v>
      </c>
      <c r="B16" s="2" t="str">
        <f t="shared" si="0"/>
        <v>土</v>
      </c>
      <c r="C16" s="1"/>
      <c r="D16" s="1"/>
      <c r="E16" s="1"/>
      <c r="F16" s="1"/>
      <c r="G16" s="1"/>
      <c r="H16" s="1"/>
    </row>
    <row r="17" spans="1:8" x14ac:dyDescent="0.25">
      <c r="A17" s="6">
        <f t="shared" si="1"/>
        <v>46089</v>
      </c>
      <c r="B17" s="2" t="str">
        <f t="shared" si="0"/>
        <v>日</v>
      </c>
      <c r="C17" s="1"/>
      <c r="D17" s="1"/>
      <c r="E17" s="1"/>
      <c r="F17" s="1"/>
      <c r="G17" s="1"/>
      <c r="H17" s="1"/>
    </row>
    <row r="18" spans="1:8" x14ac:dyDescent="0.25">
      <c r="A18" s="6">
        <f t="shared" si="1"/>
        <v>46090</v>
      </c>
      <c r="B18" s="2" t="str">
        <f t="shared" si="0"/>
        <v>月</v>
      </c>
      <c r="C18" s="1"/>
      <c r="D18" s="1"/>
      <c r="E18" s="1"/>
      <c r="F18" s="1"/>
      <c r="G18" s="1"/>
      <c r="H18" s="1"/>
    </row>
    <row r="19" spans="1:8" x14ac:dyDescent="0.25">
      <c r="A19" s="6">
        <f t="shared" si="1"/>
        <v>46091</v>
      </c>
      <c r="B19" s="2" t="str">
        <f t="shared" si="0"/>
        <v>火</v>
      </c>
      <c r="C19" s="1"/>
      <c r="D19" s="1"/>
      <c r="E19" s="1"/>
      <c r="F19" s="1"/>
      <c r="G19" s="1"/>
      <c r="H19" s="1"/>
    </row>
    <row r="20" spans="1:8" x14ac:dyDescent="0.25">
      <c r="A20" s="6">
        <f t="shared" si="1"/>
        <v>46092</v>
      </c>
      <c r="B20" s="2" t="str">
        <f t="shared" si="0"/>
        <v>水</v>
      </c>
      <c r="C20" s="1"/>
      <c r="D20" s="1"/>
      <c r="E20" s="1" t="s">
        <v>30</v>
      </c>
      <c r="F20" s="1"/>
      <c r="G20" s="1"/>
      <c r="H20" s="1"/>
    </row>
    <row r="21" spans="1:8" x14ac:dyDescent="0.25">
      <c r="A21" s="6">
        <f t="shared" si="1"/>
        <v>46093</v>
      </c>
      <c r="B21" s="2" t="str">
        <f t="shared" si="0"/>
        <v>木</v>
      </c>
      <c r="C21" s="1"/>
      <c r="D21" s="1"/>
      <c r="E21" s="1"/>
      <c r="F21" s="1"/>
      <c r="G21" s="1"/>
      <c r="H21" s="1"/>
    </row>
    <row r="22" spans="1:8" x14ac:dyDescent="0.25">
      <c r="A22" s="6">
        <f t="shared" si="1"/>
        <v>46094</v>
      </c>
      <c r="B22" s="2" t="str">
        <f t="shared" si="0"/>
        <v>金</v>
      </c>
      <c r="C22" s="1"/>
      <c r="D22" s="1"/>
      <c r="E22" s="1"/>
      <c r="F22" s="1"/>
      <c r="G22" s="1"/>
      <c r="H22" s="1"/>
    </row>
    <row r="23" spans="1:8" x14ac:dyDescent="0.25">
      <c r="A23" s="6">
        <f t="shared" si="1"/>
        <v>46095</v>
      </c>
      <c r="B23" s="2" t="str">
        <f t="shared" si="0"/>
        <v>土</v>
      </c>
      <c r="C23" s="1"/>
      <c r="D23" s="1"/>
      <c r="E23" s="1"/>
      <c r="F23" s="1"/>
      <c r="G23" s="1"/>
      <c r="H23" s="1"/>
    </row>
    <row r="24" spans="1:8" x14ac:dyDescent="0.25">
      <c r="A24" s="6">
        <f t="shared" si="1"/>
        <v>46096</v>
      </c>
      <c r="B24" s="2" t="str">
        <f t="shared" si="0"/>
        <v>日</v>
      </c>
      <c r="C24" s="1"/>
      <c r="D24" s="1"/>
      <c r="E24" s="1"/>
      <c r="F24" s="1"/>
      <c r="G24" s="1"/>
      <c r="H24" s="1"/>
    </row>
    <row r="25" spans="1:8" x14ac:dyDescent="0.25">
      <c r="A25" s="6">
        <f t="shared" si="1"/>
        <v>46097</v>
      </c>
      <c r="B25" s="2" t="str">
        <f t="shared" si="0"/>
        <v>月</v>
      </c>
      <c r="C25" s="1"/>
      <c r="D25" s="1"/>
      <c r="E25" s="1"/>
      <c r="F25" s="1"/>
      <c r="G25" s="1"/>
      <c r="H25" s="1"/>
    </row>
    <row r="26" spans="1:8" x14ac:dyDescent="0.25">
      <c r="A26" s="6">
        <f t="shared" si="1"/>
        <v>46098</v>
      </c>
      <c r="B26" s="2" t="str">
        <f t="shared" si="0"/>
        <v>火</v>
      </c>
      <c r="C26" s="1"/>
      <c r="D26" s="1"/>
      <c r="E26" s="1"/>
      <c r="F26" s="1"/>
      <c r="G26" s="1"/>
      <c r="H26" s="1"/>
    </row>
    <row r="27" spans="1:8" x14ac:dyDescent="0.25">
      <c r="A27" s="6">
        <f t="shared" si="1"/>
        <v>46099</v>
      </c>
      <c r="B27" s="2" t="str">
        <f t="shared" si="0"/>
        <v>水</v>
      </c>
      <c r="C27" s="1"/>
      <c r="D27" s="1"/>
      <c r="E27" s="1"/>
      <c r="F27" s="1"/>
      <c r="G27" s="1"/>
      <c r="H27" s="1"/>
    </row>
    <row r="28" spans="1:8" x14ac:dyDescent="0.25">
      <c r="A28" s="6">
        <f t="shared" si="1"/>
        <v>46100</v>
      </c>
      <c r="B28" s="2" t="str">
        <f t="shared" si="0"/>
        <v>木</v>
      </c>
      <c r="C28" s="1"/>
      <c r="D28" s="1"/>
      <c r="E28" s="1"/>
      <c r="F28" s="1"/>
      <c r="G28" s="1" t="s">
        <v>31</v>
      </c>
      <c r="H28" s="1"/>
    </row>
    <row r="29" spans="1:8" x14ac:dyDescent="0.25">
      <c r="A29" s="6">
        <f t="shared" si="1"/>
        <v>46101</v>
      </c>
      <c r="B29" s="2" t="str">
        <f t="shared" si="0"/>
        <v>金</v>
      </c>
      <c r="C29" s="1"/>
      <c r="D29" s="1"/>
      <c r="E29" s="1"/>
      <c r="F29" s="1"/>
      <c r="G29" s="1"/>
      <c r="H29" s="1"/>
    </row>
    <row r="30" spans="1:8" x14ac:dyDescent="0.25">
      <c r="A30" s="6">
        <f t="shared" si="1"/>
        <v>46102</v>
      </c>
      <c r="B30" s="2" t="str">
        <f t="shared" si="0"/>
        <v>土</v>
      </c>
      <c r="C30" s="1"/>
      <c r="D30" s="1"/>
      <c r="E30" s="1"/>
      <c r="F30" s="1"/>
      <c r="G30" s="1"/>
      <c r="H30" s="1"/>
    </row>
    <row r="31" spans="1:8" x14ac:dyDescent="0.25">
      <c r="A31" s="6">
        <f t="shared" si="1"/>
        <v>46103</v>
      </c>
      <c r="B31" s="2" t="str">
        <f t="shared" si="0"/>
        <v>日</v>
      </c>
      <c r="C31" s="1"/>
      <c r="D31" s="1"/>
      <c r="E31" s="1"/>
      <c r="F31" s="1"/>
      <c r="G31" s="1"/>
      <c r="H31" s="1"/>
    </row>
    <row r="32" spans="1:8" x14ac:dyDescent="0.25">
      <c r="A32" s="6">
        <f t="shared" si="1"/>
        <v>46104</v>
      </c>
      <c r="B32" s="2" t="str">
        <f t="shared" si="0"/>
        <v>月</v>
      </c>
      <c r="C32" s="1"/>
      <c r="D32" s="1"/>
      <c r="E32" s="1"/>
      <c r="F32" s="1"/>
      <c r="G32" s="1"/>
      <c r="H32" s="1"/>
    </row>
  </sheetData>
  <phoneticPr fontId="3"/>
  <conditionalFormatting sqref="B2:B32">
    <cfRule type="expression" dxfId="1" priority="3">
      <formula>WEEKDAY($A2)=1</formula>
    </cfRule>
    <cfRule type="expression" dxfId="0" priority="4">
      <formula>WEEKDAY($A2)=7</formula>
    </cfRule>
  </conditionalFormatting>
  <dataValidations count="1">
    <dataValidation type="list" allowBlank="1" showErrorMessage="1" sqref="C2:H32" xr:uid="{00000000-0002-0000-0100-000000000000}">
      <formula1>"希休,有休"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0FE80AF-C0B4-425C-A69A-F473305DFA6C}">
            <xm:f>COUNTIF(設定!$D$1:$D$20, $A2)&gt;0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A2:B32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</sheetPr>
  <dimension ref="A1:G7"/>
  <sheetViews>
    <sheetView workbookViewId="0">
      <selection activeCell="C14" sqref="C14"/>
    </sheetView>
  </sheetViews>
  <sheetFormatPr defaultColWidth="14.42578125" defaultRowHeight="15" customHeight="1" x14ac:dyDescent="0.25"/>
  <cols>
    <col min="1" max="1" width="7.140625" customWidth="1"/>
    <col min="2" max="2" width="13.140625" customWidth="1"/>
    <col min="3" max="3" width="7.42578125" customWidth="1"/>
  </cols>
  <sheetData>
    <row r="1" spans="1:7" x14ac:dyDescent="0.25">
      <c r="A1" s="3" t="s">
        <v>8</v>
      </c>
      <c r="B1" s="3" t="s">
        <v>9</v>
      </c>
      <c r="C1" s="3" t="s">
        <v>10</v>
      </c>
      <c r="D1" s="3" t="s">
        <v>16</v>
      </c>
      <c r="E1" s="3" t="s">
        <v>17</v>
      </c>
      <c r="F1" s="3" t="s">
        <v>18</v>
      </c>
      <c r="G1" s="3" t="s">
        <v>23</v>
      </c>
    </row>
    <row r="2" spans="1:7" x14ac:dyDescent="0.25">
      <c r="A2" s="3" t="s">
        <v>12</v>
      </c>
      <c r="B2">
        <v>8</v>
      </c>
      <c r="C2" t="s">
        <v>15</v>
      </c>
      <c r="D2" t="s">
        <v>15</v>
      </c>
      <c r="E2" s="4" t="s">
        <v>19</v>
      </c>
      <c r="F2" s="5" t="s">
        <v>21</v>
      </c>
      <c r="G2">
        <v>6</v>
      </c>
    </row>
    <row r="3" spans="1:7" x14ac:dyDescent="0.25">
      <c r="A3" s="3" t="s">
        <v>13</v>
      </c>
      <c r="B3">
        <v>8</v>
      </c>
      <c r="C3" t="s">
        <v>15</v>
      </c>
      <c r="D3" t="s">
        <v>15</v>
      </c>
      <c r="E3" s="4" t="s">
        <v>19</v>
      </c>
      <c r="F3" s="5" t="s">
        <v>21</v>
      </c>
      <c r="G3">
        <v>6</v>
      </c>
    </row>
    <row r="4" spans="1:7" x14ac:dyDescent="0.25">
      <c r="A4" s="3" t="s">
        <v>14</v>
      </c>
      <c r="B4">
        <v>8</v>
      </c>
      <c r="D4" t="s">
        <v>15</v>
      </c>
      <c r="E4" s="4" t="s">
        <v>19</v>
      </c>
      <c r="G4">
        <v>4</v>
      </c>
    </row>
    <row r="5" spans="1:7" ht="15" customHeight="1" x14ac:dyDescent="0.25">
      <c r="A5" s="3" t="s">
        <v>11</v>
      </c>
      <c r="B5" s="1">
        <v>8</v>
      </c>
      <c r="C5" t="s">
        <v>15</v>
      </c>
      <c r="E5" s="4" t="s">
        <v>19</v>
      </c>
      <c r="F5" s="5" t="s">
        <v>21</v>
      </c>
      <c r="G5">
        <v>6</v>
      </c>
    </row>
    <row r="6" spans="1:7" ht="15" customHeight="1" x14ac:dyDescent="0.25">
      <c r="A6" s="1" t="s">
        <v>6</v>
      </c>
      <c r="B6" s="1">
        <v>9</v>
      </c>
      <c r="E6" s="4" t="s">
        <v>19</v>
      </c>
      <c r="G6">
        <v>4</v>
      </c>
    </row>
    <row r="7" spans="1:7" ht="15" customHeight="1" x14ac:dyDescent="0.25">
      <c r="A7" s="1" t="s">
        <v>7</v>
      </c>
      <c r="B7" s="1">
        <v>10</v>
      </c>
      <c r="E7" s="4" t="s">
        <v>20</v>
      </c>
      <c r="G7">
        <v>4</v>
      </c>
    </row>
  </sheetData>
  <phoneticPr fontId="3"/>
  <dataValidations count="2">
    <dataValidation type="list" allowBlank="1" showErrorMessage="1" sqref="B5:B7" xr:uid="{00000000-0002-0000-0200-000000000000}">
      <formula1>"8,9,10,11,12,13,14,15"</formula1>
    </dataValidation>
    <dataValidation type="list" allowBlank="1" showInputMessage="1" showErrorMessage="1" sqref="C2:D7" xr:uid="{20DA14BC-7505-4CE0-BC90-6E74294128EF}">
      <formula1>"〇"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設定</vt:lpstr>
      <vt:lpstr>希望休</vt:lpstr>
      <vt:lpstr>休日回数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浩司 佐伯</cp:lastModifiedBy>
  <dcterms:created xsi:type="dcterms:W3CDTF">2026-01-10T05:04:46Z</dcterms:created>
  <dcterms:modified xsi:type="dcterms:W3CDTF">2026-01-22T08:00:51Z</dcterms:modified>
</cp:coreProperties>
</file>